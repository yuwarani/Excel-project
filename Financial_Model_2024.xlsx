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ssy\OneDrive\Desktop\"/>
    </mc:Choice>
  </mc:AlternateContent>
  <xr:revisionPtr revIDLastSave="0" documentId="8_{0AF00D28-00D6-4FCA-9F30-86F3E4C768DE}" xr6:coauthVersionLast="47" xr6:coauthVersionMax="47" xr10:uidLastSave="{00000000-0000-0000-0000-000000000000}"/>
  <bookViews>
    <workbookView xWindow="-110" yWindow="-110" windowWidth="19420" windowHeight="10300" xr2:uid="{C2B3D3CA-D99D-49EB-ADFA-D2BD3C3D5A2B}"/>
  </bookViews>
  <sheets>
    <sheet name="Inputs" sheetId="3" r:id="rId1"/>
    <sheet name="Calculations" sheetId="2" r:id="rId2"/>
    <sheet name="Dashboard" sheetId="4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2" l="1"/>
  <c r="D12" i="2"/>
  <c r="E12" i="2"/>
  <c r="F12" i="2"/>
  <c r="G12" i="2"/>
  <c r="H12" i="2"/>
  <c r="I12" i="2"/>
  <c r="J12" i="2"/>
  <c r="K12" i="2"/>
  <c r="L12" i="2"/>
  <c r="M12" i="2"/>
  <c r="B12" i="2"/>
  <c r="C11" i="2"/>
  <c r="D11" i="2"/>
  <c r="E11" i="2"/>
  <c r="F11" i="2"/>
  <c r="G11" i="2"/>
  <c r="H11" i="2"/>
  <c r="I11" i="2"/>
  <c r="J11" i="2"/>
  <c r="K11" i="2"/>
  <c r="L11" i="2"/>
  <c r="M11" i="2"/>
  <c r="B11" i="2"/>
  <c r="C10" i="2"/>
  <c r="D10" i="2"/>
  <c r="E10" i="2"/>
  <c r="F10" i="2"/>
  <c r="G10" i="2"/>
  <c r="H10" i="2"/>
  <c r="I10" i="2"/>
  <c r="J10" i="2"/>
  <c r="K10" i="2"/>
  <c r="L10" i="2"/>
  <c r="M10" i="2"/>
  <c r="B10" i="2"/>
  <c r="C9" i="2"/>
  <c r="D9" i="2"/>
  <c r="E9" i="2"/>
  <c r="F9" i="2"/>
  <c r="G9" i="2"/>
  <c r="H9" i="2"/>
  <c r="I9" i="2"/>
  <c r="J9" i="2"/>
  <c r="K9" i="2"/>
  <c r="L9" i="2"/>
  <c r="M9" i="2"/>
  <c r="B9" i="2"/>
  <c r="D5" i="2"/>
  <c r="E5" i="2"/>
  <c r="F5" i="2"/>
  <c r="G5" i="2"/>
  <c r="H5" i="2"/>
  <c r="I5" i="2"/>
  <c r="J5" i="2"/>
  <c r="K5" i="2"/>
  <c r="L5" i="2"/>
  <c r="M5" i="2"/>
  <c r="C5" i="2"/>
  <c r="B4" i="2"/>
  <c r="B6" i="2" s="1"/>
  <c r="B14" i="2" l="1"/>
  <c r="B8" i="2"/>
  <c r="B13" i="2" s="1"/>
  <c r="C4" i="2"/>
  <c r="B25" i="2" l="1"/>
  <c r="C25" i="2" s="1"/>
  <c r="D25" i="2" s="1"/>
  <c r="E25" i="2" s="1"/>
  <c r="F25" i="2" s="1"/>
  <c r="G25" i="2" s="1"/>
  <c r="H25" i="2" s="1"/>
  <c r="I25" i="2" s="1"/>
  <c r="J25" i="2" s="1"/>
  <c r="K25" i="2" s="1"/>
  <c r="L25" i="2" s="1"/>
  <c r="M25" i="2" s="1"/>
  <c r="B20" i="2"/>
  <c r="C8" i="2"/>
  <c r="C13" i="2" s="1"/>
  <c r="D4" i="2"/>
  <c r="C6" i="2"/>
  <c r="C14" i="2" l="1"/>
  <c r="D8" i="2"/>
  <c r="D13" i="2" s="1"/>
  <c r="E4" i="2"/>
  <c r="D6" i="2"/>
  <c r="D14" i="2" s="1"/>
  <c r="F4" i="2" l="1"/>
  <c r="E6" i="2"/>
  <c r="E8" i="2"/>
  <c r="E13" i="2" s="1"/>
  <c r="E14" i="2" l="1"/>
  <c r="G4" i="2"/>
  <c r="F6" i="2"/>
  <c r="F8" i="2"/>
  <c r="F13" i="2" s="1"/>
  <c r="F14" i="2" l="1"/>
  <c r="H4" i="2"/>
  <c r="G6" i="2"/>
  <c r="G8" i="2"/>
  <c r="G13" i="2" s="1"/>
  <c r="G14" i="2" l="1"/>
  <c r="I4" i="2"/>
  <c r="H6" i="2"/>
  <c r="H8" i="2"/>
  <c r="H13" i="2" s="1"/>
  <c r="H14" i="2" l="1"/>
  <c r="J4" i="2"/>
  <c r="I8" i="2"/>
  <c r="I13" i="2" s="1"/>
  <c r="I6" i="2"/>
  <c r="I14" i="2" s="1"/>
  <c r="K4" i="2" l="1"/>
  <c r="J8" i="2"/>
  <c r="J13" i="2" s="1"/>
  <c r="J6" i="2"/>
  <c r="J14" i="2" l="1"/>
  <c r="L4" i="2"/>
  <c r="K8" i="2"/>
  <c r="K13" i="2" s="1"/>
  <c r="K6" i="2"/>
  <c r="K14" i="2" s="1"/>
  <c r="M4" i="2" l="1"/>
  <c r="L8" i="2"/>
  <c r="L13" i="2" s="1"/>
  <c r="L6" i="2"/>
  <c r="L14" i="2" s="1"/>
  <c r="M6" i="2" l="1"/>
  <c r="M8" i="2"/>
  <c r="M13" i="2" s="1"/>
  <c r="M14" i="2" l="1"/>
  <c r="B19" i="2"/>
  <c r="B21" i="2" l="1"/>
  <c r="B22" i="2" l="1"/>
</calcChain>
</file>

<file path=xl/sharedStrings.xml><?xml version="1.0" encoding="utf-8"?>
<sst xmlns="http://schemas.openxmlformats.org/spreadsheetml/2006/main" count="39" uniqueCount="39">
  <si>
    <t> FINANCIAL MODEL INPUTS</t>
  </si>
  <si>
    <t>Business Information</t>
  </si>
  <si>
    <t>Business Name:</t>
  </si>
  <si>
    <t>Sarah's Online Bakery</t>
  </si>
  <si>
    <t>Planning Period:</t>
  </si>
  <si>
    <t>12 Months</t>
  </si>
  <si>
    <t>Revenue Assumptions</t>
  </si>
  <si>
    <t>Product Name:</t>
  </si>
  <si>
    <t>Custom Cakes</t>
  </si>
  <si>
    <t>Price per Unit:</t>
  </si>
  <si>
    <t>Units Sold Month 1:</t>
  </si>
  <si>
    <t>Monthly Growth Rate:</t>
  </si>
  <si>
    <t>Expense Assumptions</t>
  </si>
  <si>
    <t>Ingredient Cost per Unit:</t>
  </si>
  <si>
    <t>Rent (monthly):</t>
  </si>
  <si>
    <t>Marketing (monthly):</t>
  </si>
  <si>
    <t>Utilities (monthly):</t>
  </si>
  <si>
    <t>Other Costs (monthly):</t>
  </si>
  <si>
    <t>Month</t>
  </si>
  <si>
    <t>Units Sold</t>
  </si>
  <si>
    <t>Price per Unit</t>
  </si>
  <si>
    <t>Total Revenue</t>
  </si>
  <si>
    <t>EXPENSES</t>
  </si>
  <si>
    <t>Cost of Goods</t>
  </si>
  <si>
    <t>Rent</t>
  </si>
  <si>
    <t>Marketing</t>
  </si>
  <si>
    <t>Utilities</t>
  </si>
  <si>
    <t>Other Costs</t>
  </si>
  <si>
    <t>Total Expenses</t>
  </si>
  <si>
    <t>NET PROFIT</t>
  </si>
  <si>
    <t>Revenue</t>
  </si>
  <si>
    <t>KEY METRICS</t>
  </si>
  <si>
    <t>Total Year Revenue:</t>
  </si>
  <si>
    <t>Total Year Expenses:</t>
  </si>
  <si>
    <t>Profit Margin:</t>
  </si>
  <si>
    <t>Net Profit/Loss:</t>
  </si>
  <si>
    <t>BREAK-EVEN ANALYSIS</t>
  </si>
  <si>
    <t>Cumulative Profit by Month:</t>
  </si>
  <si>
    <t>FINANCIAL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</si>
</sst>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£&quot;* #,##0.00_-;\-&quot;£&quot;* #,##0.00_-;_-&quot;£&quot;* &quot;-&quot;??_-;_-@_-"/>
    <numFmt numFmtId="164" formatCode="&quot;£&quot;#,##0.00"/>
  </numFmts>
  <fonts count="1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0"/>
      <name val="Arial"/>
      <family val="2"/>
    </font>
    <font>
      <b/>
      <sz val="14"/>
      <color rgb="FF1F2937"/>
      <name val="Arial"/>
      <family val="2"/>
    </font>
    <font>
      <sz val="10"/>
      <color rgb="FF1F2937"/>
      <name val="Arial"/>
      <family val="2"/>
    </font>
    <font>
      <sz val="10"/>
      <color theme="1"/>
      <name val="Aptos Narrow"/>
      <family val="2"/>
      <scheme val="minor"/>
    </font>
    <font>
      <b/>
      <sz val="16"/>
      <color rgb="FF1F2937"/>
      <name val="Arial"/>
      <family val="2"/>
    </font>
    <font>
      <sz val="11"/>
      <color rgb="FF1F2937"/>
      <name val="Arial"/>
      <family val="2"/>
    </font>
    <font>
      <b/>
      <sz val="11"/>
      <color rgb="FF1F2937"/>
      <name val="Arial"/>
      <family val="2"/>
    </font>
    <font>
      <sz val="12"/>
      <color rgb="FF1F2937"/>
      <name val="Arial"/>
      <family val="2"/>
    </font>
    <font>
      <sz val="12"/>
      <name val="Consolas"/>
      <family val="3"/>
    </font>
    <font>
      <b/>
      <sz val="14"/>
      <color theme="1"/>
      <name val="Aptos Narrow"/>
      <family val="2"/>
      <scheme val="minor"/>
    </font>
    <font>
      <sz val="14"/>
      <color rgb="FF374151"/>
      <name val="Arial"/>
      <family val="2"/>
    </font>
    <font>
      <b/>
      <sz val="14"/>
      <color rgb="FF374151"/>
      <name val="Arial"/>
      <family val="2"/>
    </font>
    <font>
      <sz val="12"/>
      <name val="Arial"/>
      <family val="2"/>
    </font>
    <font>
      <sz val="12"/>
      <name val="Aptos Narrow"/>
      <family val="2"/>
      <scheme val="minor"/>
    </font>
    <font>
      <b/>
      <sz val="18"/>
      <color theme="4"/>
      <name val="Arial"/>
      <family val="2"/>
    </font>
    <font>
      <b/>
      <i/>
      <sz val="20"/>
      <color theme="4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F9FAFB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E5E7EB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2" borderId="0" xfId="0" applyFont="1" applyFill="1"/>
    <xf numFmtId="0" fontId="5" fillId="0" borderId="0" xfId="0" applyFont="1"/>
    <xf numFmtId="0" fontId="3" fillId="0" borderId="1" xfId="0" applyFont="1" applyBorder="1"/>
    <xf numFmtId="0" fontId="0" fillId="0" borderId="1" xfId="0" applyBorder="1"/>
    <xf numFmtId="0" fontId="4" fillId="0" borderId="1" xfId="0" applyFont="1" applyBorder="1" applyAlignment="1">
      <alignment horizontal="left"/>
    </xf>
    <xf numFmtId="0" fontId="5" fillId="0" borderId="1" xfId="0" applyFont="1" applyBorder="1"/>
    <xf numFmtId="164" fontId="4" fillId="0" borderId="1" xfId="0" applyNumberFormat="1" applyFont="1" applyBorder="1" applyAlignment="1">
      <alignment horizontal="left"/>
    </xf>
    <xf numFmtId="10" fontId="4" fillId="0" borderId="1" xfId="0" applyNumberFormat="1" applyFont="1" applyBorder="1" applyAlignment="1">
      <alignment horizontal="left"/>
    </xf>
    <xf numFmtId="0" fontId="6" fillId="0" borderId="0" xfId="0" applyFont="1"/>
    <xf numFmtId="0" fontId="0" fillId="3" borderId="0" xfId="0" applyFill="1"/>
    <xf numFmtId="0" fontId="7" fillId="4" borderId="2" xfId="0" applyFont="1" applyFill="1" applyBorder="1" applyAlignment="1">
      <alignment vertical="center" wrapText="1"/>
    </xf>
    <xf numFmtId="0" fontId="7" fillId="4" borderId="0" xfId="0" applyFont="1" applyFill="1" applyAlignment="1">
      <alignment vertical="center" wrapText="1"/>
    </xf>
    <xf numFmtId="0" fontId="7" fillId="5" borderId="2" xfId="0" applyFont="1" applyFill="1" applyBorder="1" applyAlignment="1">
      <alignment vertical="center" wrapText="1"/>
    </xf>
    <xf numFmtId="0" fontId="7" fillId="5" borderId="0" xfId="0" applyFont="1" applyFill="1" applyAlignment="1">
      <alignment vertical="center" wrapText="1"/>
    </xf>
    <xf numFmtId="0" fontId="7" fillId="3" borderId="2" xfId="0" applyFont="1" applyFill="1" applyBorder="1" applyAlignment="1">
      <alignment vertical="center" wrapText="1"/>
    </xf>
    <xf numFmtId="0" fontId="7" fillId="3" borderId="0" xfId="0" applyFont="1" applyFill="1" applyAlignment="1">
      <alignment vertical="center" wrapText="1"/>
    </xf>
    <xf numFmtId="0" fontId="7" fillId="4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0" fontId="8" fillId="6" borderId="0" xfId="0" applyFont="1" applyFill="1" applyAlignment="1">
      <alignment vertical="center" wrapText="1"/>
    </xf>
    <xf numFmtId="0" fontId="8" fillId="7" borderId="2" xfId="0" applyFont="1" applyFill="1" applyBorder="1" applyAlignment="1">
      <alignment vertical="center" wrapText="1"/>
    </xf>
    <xf numFmtId="44" fontId="7" fillId="4" borderId="0" xfId="0" applyNumberFormat="1" applyFont="1" applyFill="1" applyAlignment="1">
      <alignment vertical="center" wrapText="1"/>
    </xf>
    <xf numFmtId="44" fontId="7" fillId="4" borderId="1" xfId="0" applyNumberFormat="1" applyFont="1" applyFill="1" applyBorder="1" applyAlignment="1">
      <alignment vertical="center" wrapText="1"/>
    </xf>
    <xf numFmtId="44" fontId="7" fillId="5" borderId="1" xfId="0" applyNumberFormat="1" applyFont="1" applyFill="1" applyBorder="1" applyAlignment="1">
      <alignment vertical="center" wrapText="1"/>
    </xf>
    <xf numFmtId="44" fontId="7" fillId="3" borderId="1" xfId="0" applyNumberFormat="1" applyFont="1" applyFill="1" applyBorder="1" applyAlignment="1">
      <alignment vertical="center" wrapText="1"/>
    </xf>
    <xf numFmtId="44" fontId="0" fillId="0" borderId="0" xfId="0" applyNumberFormat="1"/>
    <xf numFmtId="44" fontId="10" fillId="9" borderId="0" xfId="0" applyNumberFormat="1" applyFont="1" applyFill="1"/>
    <xf numFmtId="0" fontId="1" fillId="9" borderId="0" xfId="0" applyFont="1" applyFill="1"/>
    <xf numFmtId="2" fontId="7" fillId="3" borderId="1" xfId="0" applyNumberFormat="1" applyFont="1" applyFill="1" applyBorder="1" applyAlignment="1">
      <alignment vertical="center" wrapText="1"/>
    </xf>
    <xf numFmtId="164" fontId="7" fillId="5" borderId="1" xfId="0" applyNumberFormat="1" applyFont="1" applyFill="1" applyBorder="1" applyAlignment="1">
      <alignment vertical="center" wrapText="1"/>
    </xf>
    <xf numFmtId="0" fontId="9" fillId="0" borderId="1" xfId="0" applyFont="1" applyBorder="1"/>
    <xf numFmtId="0" fontId="10" fillId="0" borderId="1" xfId="0" applyFont="1" applyBorder="1"/>
    <xf numFmtId="0" fontId="8" fillId="8" borderId="1" xfId="0" applyFont="1" applyFill="1" applyBorder="1" applyAlignment="1">
      <alignment vertical="center" wrapText="1"/>
    </xf>
    <xf numFmtId="44" fontId="10" fillId="9" borderId="1" xfId="0" applyNumberFormat="1" applyFont="1" applyFill="1" applyBorder="1"/>
    <xf numFmtId="0" fontId="7" fillId="9" borderId="1" xfId="0" applyFont="1" applyFill="1" applyBorder="1" applyAlignment="1">
      <alignment vertical="center" wrapText="1"/>
    </xf>
    <xf numFmtId="0" fontId="11" fillId="0" borderId="1" xfId="0" applyFont="1" applyBorder="1"/>
    <xf numFmtId="0" fontId="13" fillId="10" borderId="0" xfId="0" applyFont="1" applyFill="1"/>
    <xf numFmtId="0" fontId="14" fillId="0" borderId="0" xfId="0" applyFont="1"/>
    <xf numFmtId="44" fontId="10" fillId="0" borderId="0" xfId="0" applyNumberFormat="1" applyFont="1"/>
    <xf numFmtId="0" fontId="15" fillId="0" borderId="0" xfId="0" applyFont="1"/>
    <xf numFmtId="10" fontId="10" fillId="0" borderId="0" xfId="0" applyNumberFormat="1" applyFont="1"/>
    <xf numFmtId="0" fontId="12" fillId="11" borderId="0" xfId="0" applyFont="1" applyFill="1"/>
    <xf numFmtId="0" fontId="14" fillId="9" borderId="0" xfId="0" applyFont="1" applyFill="1"/>
    <xf numFmtId="0" fontId="15" fillId="9" borderId="0" xfId="0" applyFont="1" applyFill="1"/>
    <xf numFmtId="0" fontId="0" fillId="12" borderId="0" xfId="0" applyFill="1"/>
    <xf numFmtId="0" fontId="16" fillId="12" borderId="0" xfId="0" applyFont="1" applyFill="1" applyAlignment="1">
      <alignment vertical="center"/>
    </xf>
    <xf numFmtId="0" fontId="17" fillId="12" borderId="0" xfId="0" applyFont="1" applyFill="1" applyAlignment="1">
      <alignment horizontal="center" vertical="center"/>
    </xf>
    <xf numFmtId="0" fontId="16" fillId="12" borderId="0" xfId="0" applyFont="1" applyFill="1" applyAlignment="1">
      <alignment horizontal="center" vertical="center"/>
    </xf>
    <xf numFmtId="0" fontId="16" fillId="12" borderId="3" xfId="0" applyFont="1" applyFill="1" applyBorder="1" applyAlignment="1">
      <alignment vertical="center"/>
    </xf>
    <xf numFmtId="0" fontId="0" fillId="0" borderId="1" xfId="0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Calculations!$A$6</c:f>
              <c:strCache>
                <c:ptCount val="1"/>
                <c:pt idx="0">
                  <c:v>Total Revenue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xVal>
            <c:numRef>
              <c:f>Calculations!$B$1:$M$1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Calculations!$B$6:$M$6</c:f>
              <c:numCache>
                <c:formatCode>_("£"* #,##0.00_);_("£"* \(#,##0.00\);_("£"* "-"??_);_(@_)</c:formatCode>
                <c:ptCount val="12"/>
                <c:pt idx="0">
                  <c:v>1000</c:v>
                </c:pt>
                <c:pt idx="1">
                  <c:v>1100</c:v>
                </c:pt>
                <c:pt idx="2">
                  <c:v>1210.0000000000002</c:v>
                </c:pt>
                <c:pt idx="3">
                  <c:v>1331.0000000000002</c:v>
                </c:pt>
                <c:pt idx="4">
                  <c:v>1464.1000000000004</c:v>
                </c:pt>
                <c:pt idx="5">
                  <c:v>1610.5100000000004</c:v>
                </c:pt>
                <c:pt idx="6">
                  <c:v>1771.5610000000006</c:v>
                </c:pt>
                <c:pt idx="7">
                  <c:v>1948.7171000000008</c:v>
                </c:pt>
                <c:pt idx="8">
                  <c:v>2143.5888100000011</c:v>
                </c:pt>
                <c:pt idx="9">
                  <c:v>2357.9476910000017</c:v>
                </c:pt>
                <c:pt idx="10">
                  <c:v>2593.7424601000016</c:v>
                </c:pt>
                <c:pt idx="11">
                  <c:v>2853.1167061100023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18-43F9-A4DF-F13A1E43D6B5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1031848671"/>
        <c:axId val="1031849151"/>
      </c:scatterChart>
      <c:valAx>
        <c:axId val="10318486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849151"/>
        <c:crosses val="autoZero"/>
        <c:crossBetween val="midCat"/>
      </c:valAx>
      <c:valAx>
        <c:axId val="1031849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_(&quot;£&quot;* #,##0.00_);_(&quot;£&quot;* \(#,##0.00\);_(&quot;£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8486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Net</a:t>
            </a:r>
            <a:r>
              <a:rPr lang="en-GB" baseline="0"/>
              <a:t> Profit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Calculations!$B$1</c:f>
              <c:strCache>
                <c:ptCount val="1"/>
                <c:pt idx="0">
                  <c:v>1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Calculations!$A$14</c:f>
              <c:strCache>
                <c:ptCount val="1"/>
                <c:pt idx="0">
                  <c:v>NET PROFIT</c:v>
                </c:pt>
              </c:strCache>
            </c:strRef>
          </c:cat>
          <c:val>
            <c:numRef>
              <c:f>Calculations!$B$14</c:f>
              <c:numCache>
                <c:formatCode>_("£"* #,##0.00_);_("£"* \(#,##0.00\);_("£"* "-"??_);_(@_)</c:formatCode>
                <c:ptCount val="1"/>
                <c:pt idx="0">
                  <c:v>-250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1B-4050-96E2-F25EF0F08A48}"/>
            </c:ext>
          </c:extLst>
        </c:ser>
        <c:ser>
          <c:idx val="1"/>
          <c:order val="1"/>
          <c:tx>
            <c:strRef>
              <c:f>Calculations!$C$1</c:f>
              <c:strCache>
                <c:ptCount val="1"/>
                <c:pt idx="0">
                  <c:v>2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Calculations!$A$14</c:f>
              <c:strCache>
                <c:ptCount val="1"/>
                <c:pt idx="0">
                  <c:v>NET PROFIT</c:v>
                </c:pt>
              </c:strCache>
            </c:strRef>
          </c:cat>
          <c:val>
            <c:numRef>
              <c:f>Calculations!$C$14</c:f>
              <c:numCache>
                <c:formatCode>_("£"* #,##0.00_);_("£"* \(#,##0.00\);_("£"* "-"??_);_(@_)</c:formatCode>
                <c:ptCount val="1"/>
                <c:pt idx="0">
                  <c:v>-180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1B-4050-96E2-F25EF0F08A48}"/>
            </c:ext>
          </c:extLst>
        </c:ser>
        <c:ser>
          <c:idx val="2"/>
          <c:order val="2"/>
          <c:tx>
            <c:strRef>
              <c:f>Calculations!$D$1</c:f>
              <c:strCache>
                <c:ptCount val="1"/>
                <c:pt idx="0">
                  <c:v>3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Calculations!$A$14</c:f>
              <c:strCache>
                <c:ptCount val="1"/>
                <c:pt idx="0">
                  <c:v>NET PROFIT</c:v>
                </c:pt>
              </c:strCache>
            </c:strRef>
          </c:cat>
          <c:val>
            <c:numRef>
              <c:f>Calculations!$D$14</c:f>
              <c:numCache>
                <c:formatCode>_("£"* #,##0.00_);_("£"* \(#,##0.00\);_("£"* "-"??_);_(@_)</c:formatCode>
                <c:ptCount val="1"/>
                <c:pt idx="0">
                  <c:v>-102.99999999999977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1B-4050-96E2-F25EF0F08A48}"/>
            </c:ext>
          </c:extLst>
        </c:ser>
        <c:ser>
          <c:idx val="3"/>
          <c:order val="3"/>
          <c:tx>
            <c:strRef>
              <c:f>Calculations!$E$1</c:f>
              <c:strCache>
                <c:ptCount val="1"/>
                <c:pt idx="0">
                  <c:v>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Calculations!$A$14</c:f>
              <c:strCache>
                <c:ptCount val="1"/>
                <c:pt idx="0">
                  <c:v>NET PROFIT</c:v>
                </c:pt>
              </c:strCache>
            </c:strRef>
          </c:cat>
          <c:val>
            <c:numRef>
              <c:f>Calculations!$E$14</c:f>
              <c:numCache>
                <c:formatCode>_("£"* #,##0.00_);_("£"* \(#,##0.00\);_("£"* "-"??_);_(@_)</c:formatCode>
                <c:ptCount val="1"/>
                <c:pt idx="0">
                  <c:v>-18.299999999999955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81B-4050-96E2-F25EF0F08A48}"/>
            </c:ext>
          </c:extLst>
        </c:ser>
        <c:ser>
          <c:idx val="4"/>
          <c:order val="4"/>
          <c:tx>
            <c:strRef>
              <c:f>Calculations!$F$1</c:f>
              <c:strCache>
                <c:ptCount val="1"/>
                <c:pt idx="0">
                  <c:v>5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Calculations!$A$14</c:f>
              <c:strCache>
                <c:ptCount val="1"/>
                <c:pt idx="0">
                  <c:v>NET PROFIT</c:v>
                </c:pt>
              </c:strCache>
            </c:strRef>
          </c:cat>
          <c:val>
            <c:numRef>
              <c:f>Calculations!$F$14</c:f>
              <c:numCache>
                <c:formatCode>_("£"* #,##0.00_);_("£"* \(#,##0.00\);_("£"* "-"??_);_(@_)</c:formatCode>
                <c:ptCount val="1"/>
                <c:pt idx="0">
                  <c:v>74.870000000000346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81B-4050-96E2-F25EF0F08A48}"/>
            </c:ext>
          </c:extLst>
        </c:ser>
        <c:ser>
          <c:idx val="5"/>
          <c:order val="5"/>
          <c:tx>
            <c:strRef>
              <c:f>Calculations!$G$1</c:f>
              <c:strCache>
                <c:ptCount val="1"/>
                <c:pt idx="0">
                  <c:v>6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Calculations!$A$14</c:f>
              <c:strCache>
                <c:ptCount val="1"/>
                <c:pt idx="0">
                  <c:v>NET PROFIT</c:v>
                </c:pt>
              </c:strCache>
            </c:strRef>
          </c:cat>
          <c:val>
            <c:numRef>
              <c:f>Calculations!$G$14</c:f>
              <c:numCache>
                <c:formatCode>_("£"* #,##0.00_);_("£"* \(#,##0.00\);_("£"* "-"??_);_(@_)</c:formatCode>
                <c:ptCount val="1"/>
                <c:pt idx="0">
                  <c:v>177.3570000000002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81B-4050-96E2-F25EF0F08A48}"/>
            </c:ext>
          </c:extLst>
        </c:ser>
        <c:ser>
          <c:idx val="6"/>
          <c:order val="6"/>
          <c:tx>
            <c:strRef>
              <c:f>Calculations!$H$1</c:f>
              <c:strCache>
                <c:ptCount val="1"/>
                <c:pt idx="0">
                  <c:v>7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Calculations!$A$14</c:f>
              <c:strCache>
                <c:ptCount val="1"/>
                <c:pt idx="0">
                  <c:v>NET PROFIT</c:v>
                </c:pt>
              </c:strCache>
            </c:strRef>
          </c:cat>
          <c:val>
            <c:numRef>
              <c:f>Calculations!$H$14</c:f>
              <c:numCache>
                <c:formatCode>_("£"* #,##0.00_);_("£"* \(#,##0.00\);_("£"* "-"??_);_(@_)</c:formatCode>
                <c:ptCount val="1"/>
                <c:pt idx="0">
                  <c:v>290.0927000000006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1B-4050-96E2-F25EF0F08A48}"/>
            </c:ext>
          </c:extLst>
        </c:ser>
        <c:ser>
          <c:idx val="7"/>
          <c:order val="7"/>
          <c:tx>
            <c:strRef>
              <c:f>Calculations!$I$1</c:f>
              <c:strCache>
                <c:ptCount val="1"/>
                <c:pt idx="0">
                  <c:v>8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Calculations!$A$14</c:f>
              <c:strCache>
                <c:ptCount val="1"/>
                <c:pt idx="0">
                  <c:v>NET PROFIT</c:v>
                </c:pt>
              </c:strCache>
            </c:strRef>
          </c:cat>
          <c:val>
            <c:numRef>
              <c:f>Calculations!$I$14</c:f>
              <c:numCache>
                <c:formatCode>_("£"* #,##0.00_);_("£"* \(#,##0.00\);_("£"* "-"??_);_(@_)</c:formatCode>
                <c:ptCount val="1"/>
                <c:pt idx="0">
                  <c:v>414.10197000000062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81B-4050-96E2-F25EF0F08A48}"/>
            </c:ext>
          </c:extLst>
        </c:ser>
        <c:ser>
          <c:idx val="8"/>
          <c:order val="8"/>
          <c:tx>
            <c:strRef>
              <c:f>Calculations!$J$1</c:f>
              <c:strCache>
                <c:ptCount val="1"/>
                <c:pt idx="0">
                  <c:v>9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Calculations!$A$14</c:f>
              <c:strCache>
                <c:ptCount val="1"/>
                <c:pt idx="0">
                  <c:v>NET PROFIT</c:v>
                </c:pt>
              </c:strCache>
            </c:strRef>
          </c:cat>
          <c:val>
            <c:numRef>
              <c:f>Calculations!$J$14</c:f>
              <c:numCache>
                <c:formatCode>_("£"* #,##0.00_);_("£"* \(#,##0.00\);_("£"* "-"??_);_(@_)</c:formatCode>
                <c:ptCount val="1"/>
                <c:pt idx="0">
                  <c:v>550.51216700000077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81B-4050-96E2-F25EF0F08A48}"/>
            </c:ext>
          </c:extLst>
        </c:ser>
        <c:ser>
          <c:idx val="9"/>
          <c:order val="9"/>
          <c:tx>
            <c:strRef>
              <c:f>Calculations!$K$1</c:f>
              <c:strCache>
                <c:ptCount val="1"/>
                <c:pt idx="0">
                  <c:v>10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Calculations!$A$14</c:f>
              <c:strCache>
                <c:ptCount val="1"/>
                <c:pt idx="0">
                  <c:v>NET PROFIT</c:v>
                </c:pt>
              </c:strCache>
            </c:strRef>
          </c:cat>
          <c:val>
            <c:numRef>
              <c:f>Calculations!$K$14</c:f>
              <c:numCache>
                <c:formatCode>_("£"* #,##0.00_);_("£"* \(#,##0.00\);_("£"* "-"??_);_(@_)</c:formatCode>
                <c:ptCount val="1"/>
                <c:pt idx="0">
                  <c:v>700.5633837000014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81B-4050-96E2-F25EF0F08A48}"/>
            </c:ext>
          </c:extLst>
        </c:ser>
        <c:ser>
          <c:idx val="10"/>
          <c:order val="10"/>
          <c:tx>
            <c:strRef>
              <c:f>Calculations!$L$1</c:f>
              <c:strCache>
                <c:ptCount val="1"/>
                <c:pt idx="0">
                  <c:v>11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Calculations!$A$14</c:f>
              <c:strCache>
                <c:ptCount val="1"/>
                <c:pt idx="0">
                  <c:v>NET PROFIT</c:v>
                </c:pt>
              </c:strCache>
            </c:strRef>
          </c:cat>
          <c:val>
            <c:numRef>
              <c:f>Calculations!$L$14</c:f>
              <c:numCache>
                <c:formatCode>_("£"* #,##0.00_);_("£"* \(#,##0.00\);_("£"* "-"??_);_(@_)</c:formatCode>
                <c:ptCount val="1"/>
                <c:pt idx="0">
                  <c:v>865.61972207000099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81B-4050-96E2-F25EF0F08A48}"/>
            </c:ext>
          </c:extLst>
        </c:ser>
        <c:ser>
          <c:idx val="11"/>
          <c:order val="11"/>
          <c:tx>
            <c:strRef>
              <c:f>Calculations!$M$1</c:f>
              <c:strCache>
                <c:ptCount val="1"/>
                <c:pt idx="0">
                  <c:v>12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Calculations!$A$14</c:f>
              <c:strCache>
                <c:ptCount val="1"/>
                <c:pt idx="0">
                  <c:v>NET PROFIT</c:v>
                </c:pt>
              </c:strCache>
            </c:strRef>
          </c:cat>
          <c:val>
            <c:numRef>
              <c:f>Calculations!$M$14</c:f>
              <c:numCache>
                <c:formatCode>_("£"* #,##0.00_);_("£"* \(#,##0.00\);_("£"* "-"??_);_(@_)</c:formatCode>
                <c:ptCount val="1"/>
                <c:pt idx="0">
                  <c:v>1047.1816942770015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81B-4050-96E2-F25EF0F08A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87058304"/>
        <c:axId val="187064064"/>
        <c:extLst>
          <c:ext xmlns:c15="http://schemas.microsoft.com/office/drawing/2012/chart" uri="{02D57815-91ED-43cb-92C2-25804820EDAC}">
            <c15:filteredBarSeries>
              <c15:ser>
                <c:idx val="12"/>
                <c:order val="12"/>
                <c:tx>
                  <c:strRef>
                    <c:extLst>
                      <c:ext uri="{02D57815-91ED-43cb-92C2-25804820EDAC}">
                        <c15:formulaRef>
                          <c15:sqref>Calculations!$N$1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lumMod val="60000"/>
                          <a:lumOff val="4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lumMod val="60000"/>
                          <a:lumOff val="4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60000"/>
                          <a:lumOff val="4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Calculations!$A$14</c15:sqref>
                        </c15:formulaRef>
                      </c:ext>
                    </c:extLst>
                    <c:strCache>
                      <c:ptCount val="1"/>
                      <c:pt idx="0">
                        <c:v>NET PROFIT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Calculations!$N$14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C-281B-4050-96E2-F25EF0F08A48}"/>
                  </c:ext>
                </c:extLst>
              </c15:ser>
            </c15:filteredBarSeries>
          </c:ext>
        </c:extLst>
      </c:barChart>
      <c:catAx>
        <c:axId val="187058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64064"/>
        <c:crosses val="autoZero"/>
        <c:auto val="1"/>
        <c:lblAlgn val="ctr"/>
        <c:lblOffset val="100"/>
        <c:noMultiLvlLbl val="0"/>
      </c:catAx>
      <c:valAx>
        <c:axId val="18706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£&quot;* #,##0.00_);_(&quot;£&quot;* \(#,##0.00\);_(&quot;£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58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2">
        <a:lumMod val="40000"/>
        <a:lumOff val="60000"/>
        <a:alpha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1759786</xdr:colOff>
      <xdr:row>13</xdr:row>
      <xdr:rowOff>55217</xdr:rowOff>
    </xdr:from>
    <xdr:to>
      <xdr:col>3</xdr:col>
      <xdr:colOff>791450</xdr:colOff>
      <xdr:row>29</xdr:row>
      <xdr:rowOff>62162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FB7ADD-BA9E-24ED-0188-EF3D466C37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1251117</xdr:colOff>
      <xdr:row>13</xdr:row>
      <xdr:rowOff>64420</xdr:rowOff>
    </xdr:from>
    <xdr:to>
      <xdr:col>9</xdr:col>
      <xdr:colOff>128840</xdr:colOff>
      <xdr:row>29</xdr:row>
      <xdr:rowOff>102269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67404F-05D9-7525-AF1D-525E814152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1740903</xdr:colOff>
      <xdr:row>4</xdr:row>
      <xdr:rowOff>160755</xdr:rowOff>
    </xdr:from>
    <xdr:to>
      <xdr:col>1</xdr:col>
      <xdr:colOff>838535</xdr:colOff>
      <xdr:row>10</xdr:row>
      <xdr:rowOff>152399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B7EAD6D1-E613-B36F-6D14-2FB205C807F0}"/>
            </a:ext>
          </a:extLst>
        </xdr:cNvPr>
        <xdr:cNvSpPr/>
      </xdr:nvSpPr>
      <xdr:spPr>
        <a:xfrm>
          <a:off x="1740903" y="821155"/>
          <a:ext cx="2151982" cy="1096544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  <a:ln>
          <a:noFill/>
        </a:ln>
        <a:effectLst>
          <a:glow rad="114300">
            <a:schemeClr val="accent1">
              <a:alpha val="50000"/>
            </a:schemeClr>
          </a:glow>
          <a:softEdge rad="0"/>
        </a:effectLst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chemeClr val="dk1"/>
            </a:solidFill>
            <a:effectLst>
              <a:reflection stA="90000" endPos="65000" dist="50800" dir="5400000" sy="-100000" algn="bl" rotWithShape="0"/>
            </a:effectLst>
          </a:endParaRPr>
        </a:p>
      </xdr:txBody>
    </xdr:sp>
    <xdr:clientData/>
  </xdr:twoCellAnchor>
  <xdr:twoCellAnchor>
    <xdr:from>
      <xdr:col>1</xdr:col>
      <xdr:colOff>1111250</xdr:colOff>
      <xdr:row>4</xdr:row>
      <xdr:rowOff>177800</xdr:rowOff>
    </xdr:from>
    <xdr:to>
      <xdr:col>3</xdr:col>
      <xdr:colOff>768350</xdr:colOff>
      <xdr:row>10</xdr:row>
      <xdr:rowOff>177800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4154CABF-4108-904A-DD47-F07433B37DB5}"/>
            </a:ext>
          </a:extLst>
        </xdr:cNvPr>
        <xdr:cNvSpPr/>
      </xdr:nvSpPr>
      <xdr:spPr>
        <a:xfrm>
          <a:off x="4165600" y="838200"/>
          <a:ext cx="2190750" cy="1104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1104900</xdr:colOff>
      <xdr:row>5</xdr:row>
      <xdr:rowOff>0</xdr:rowOff>
    </xdr:from>
    <xdr:to>
      <xdr:col>6</xdr:col>
      <xdr:colOff>361950</xdr:colOff>
      <xdr:row>11</xdr:row>
      <xdr:rowOff>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87D971F6-97F8-4598-B588-BF47FC414821}"/>
            </a:ext>
          </a:extLst>
        </xdr:cNvPr>
        <xdr:cNvSpPr/>
      </xdr:nvSpPr>
      <xdr:spPr>
        <a:xfrm>
          <a:off x="6692900" y="844550"/>
          <a:ext cx="2190750" cy="1104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6</xdr:col>
      <xdr:colOff>704850</xdr:colOff>
      <xdr:row>4</xdr:row>
      <xdr:rowOff>177800</xdr:rowOff>
    </xdr:from>
    <xdr:to>
      <xdr:col>9</xdr:col>
      <xdr:colOff>127000</xdr:colOff>
      <xdr:row>10</xdr:row>
      <xdr:rowOff>177800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9E2D8BB6-FBF7-481A-A7EE-8380167DA24D}"/>
            </a:ext>
          </a:extLst>
        </xdr:cNvPr>
        <xdr:cNvSpPr/>
      </xdr:nvSpPr>
      <xdr:spPr>
        <a:xfrm>
          <a:off x="9226550" y="838200"/>
          <a:ext cx="2190750" cy="1104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2012950</xdr:colOff>
      <xdr:row>6</xdr:row>
      <xdr:rowOff>14968</xdr:rowOff>
    </xdr:from>
    <xdr:to>
      <xdr:col>1</xdr:col>
      <xdr:colOff>685800</xdr:colOff>
      <xdr:row>7</xdr:row>
      <xdr:rowOff>94797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6C282BA-E653-2C05-73DF-21DCBC378DBF}"/>
            </a:ext>
          </a:extLst>
        </xdr:cNvPr>
        <xdr:cNvSpPr txBox="1"/>
      </xdr:nvSpPr>
      <xdr:spPr>
        <a:xfrm>
          <a:off x="2012950" y="1239611"/>
          <a:ext cx="1723118" cy="2612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r>
            <a:rPr lang="en-GB" sz="1600" b="1" i="0" u="none" strike="noStrike">
              <a:solidFill>
                <a:schemeClr val="accent3"/>
              </a:solidFill>
              <a:effectLst/>
              <a:latin typeface="+mn-lt"/>
              <a:ea typeface="+mn-ea"/>
              <a:cs typeface="+mn-cs"/>
            </a:rPr>
            <a:t>Total Revenue</a:t>
          </a:r>
          <a:r>
            <a:rPr lang="en-GB" sz="1600" b="1" i="0" u="none">
              <a:solidFill>
                <a:schemeClr val="accent3"/>
              </a:solidFill>
              <a:effectLst/>
            </a:rPr>
            <a:t> </a:t>
          </a:r>
          <a:endParaRPr lang="en-GB" sz="1600" b="1" i="0" u="none">
            <a:solidFill>
              <a:schemeClr val="accent3"/>
            </a:solidFill>
          </a:endParaRPr>
        </a:p>
      </xdr:txBody>
    </xdr:sp>
    <xdr:clientData/>
  </xdr:twoCellAnchor>
  <xdr:oneCellAnchor>
    <xdr:from>
      <xdr:col>3</xdr:col>
      <xdr:colOff>190206</xdr:colOff>
      <xdr:row>7</xdr:row>
      <xdr:rowOff>140753</xdr:rowOff>
    </xdr:from>
    <xdr:ext cx="184730" cy="937693"/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C0DA1369-9FC0-9719-8AA9-8D878B00F772}"/>
            </a:ext>
          </a:extLst>
        </xdr:cNvPr>
        <xdr:cNvSpPr/>
      </xdr:nvSpPr>
      <xdr:spPr>
        <a:xfrm>
          <a:off x="5778206" y="1353603"/>
          <a:ext cx="184730" cy="93769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GB" sz="54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oneCellAnchor>
  <xdr:oneCellAnchor>
    <xdr:from>
      <xdr:col>1</xdr:col>
      <xdr:colOff>254000</xdr:colOff>
      <xdr:row>14</xdr:row>
      <xdr:rowOff>69849</xdr:rowOff>
    </xdr:from>
    <xdr:ext cx="1229488" cy="937693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E3593F46-374D-4BCA-A5C1-C09244A11A2C}"/>
            </a:ext>
          </a:extLst>
        </xdr:cNvPr>
        <xdr:cNvSpPr/>
      </xdr:nvSpPr>
      <xdr:spPr>
        <a:xfrm flipH="1">
          <a:off x="3308350" y="2571749"/>
          <a:ext cx="1229488" cy="93769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endParaRPr lang="en-GB" sz="5400" b="1" cap="none" spc="0">
            <a:ln w="9525">
              <a:solidFill>
                <a:schemeClr val="bg1"/>
              </a:solidFill>
              <a:prstDash val="solid"/>
            </a:ln>
            <a:solidFill>
              <a:schemeClr val="tx1"/>
            </a:solidFill>
            <a:effectLst>
              <a:outerShdw blurRad="12700" dist="38100" dir="2700000" algn="tl" rotWithShape="0">
                <a:schemeClr val="bg1">
                  <a:lumMod val="50000"/>
                </a:schemeClr>
              </a:outerShdw>
            </a:effectLst>
          </a:endParaRPr>
        </a:p>
      </xdr:txBody>
    </xdr:sp>
    <xdr:clientData/>
  </xdr:oneCellAnchor>
  <xdr:twoCellAnchor>
    <xdr:from>
      <xdr:col>0</xdr:col>
      <xdr:colOff>2056039</xdr:colOff>
      <xdr:row>8</xdr:row>
      <xdr:rowOff>11341</xdr:rowOff>
    </xdr:from>
    <xdr:to>
      <xdr:col>1</xdr:col>
      <xdr:colOff>351517</xdr:colOff>
      <xdr:row>9</xdr:row>
      <xdr:rowOff>132898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491CD50-05DD-D21D-188A-4E8C3AB89DD4}"/>
            </a:ext>
          </a:extLst>
        </xdr:cNvPr>
        <xdr:cNvSpPr txBox="1"/>
      </xdr:nvSpPr>
      <xdr:spPr>
        <a:xfrm>
          <a:off x="2056039" y="1598841"/>
          <a:ext cx="1345746" cy="3029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r>
            <a:rPr lang="en-GB" sz="1600" b="1" i="0" u="none" strike="noStrike">
              <a:solidFill>
                <a:schemeClr val="accent3"/>
              </a:solidFill>
              <a:effectLst/>
              <a:latin typeface="+mn-lt"/>
              <a:ea typeface="+mn-ea"/>
              <a:cs typeface="+mn-cs"/>
            </a:rPr>
            <a:t> £     21,384.28 </a:t>
          </a:r>
          <a:endParaRPr lang="en-GB" sz="1600" b="1">
            <a:solidFill>
              <a:schemeClr val="accent3"/>
            </a:solidFill>
          </a:endParaRPr>
        </a:p>
      </xdr:txBody>
    </xdr:sp>
    <xdr:clientData/>
  </xdr:twoCellAnchor>
  <xdr:twoCellAnchor>
    <xdr:from>
      <xdr:col>1</xdr:col>
      <xdr:colOff>1111250</xdr:colOff>
      <xdr:row>4</xdr:row>
      <xdr:rowOff>177800</xdr:rowOff>
    </xdr:from>
    <xdr:to>
      <xdr:col>3</xdr:col>
      <xdr:colOff>812800</xdr:colOff>
      <xdr:row>10</xdr:row>
      <xdr:rowOff>169444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19B0F0F9-73BE-49E6-8CF8-A2709E536502}"/>
            </a:ext>
          </a:extLst>
        </xdr:cNvPr>
        <xdr:cNvSpPr/>
      </xdr:nvSpPr>
      <xdr:spPr>
        <a:xfrm>
          <a:off x="4165600" y="838200"/>
          <a:ext cx="2235200" cy="1096544"/>
        </a:xfrm>
        <a:prstGeom prst="roundRect">
          <a:avLst/>
        </a:prstGeom>
        <a:solidFill>
          <a:srgbClr val="FFFF00"/>
        </a:solidFill>
        <a:ln>
          <a:noFill/>
        </a:ln>
        <a:effectLst>
          <a:glow rad="114300">
            <a:schemeClr val="accent1">
              <a:alpha val="50000"/>
            </a:schemeClr>
          </a:glow>
          <a:softEdge rad="0"/>
        </a:effectLst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chemeClr val="dk1"/>
            </a:solidFill>
            <a:effectLst>
              <a:reflection stA="90000" endPos="65000" dist="50800" dir="5400000" sy="-100000" algn="bl" rotWithShape="0"/>
            </a:effectLst>
          </a:endParaRPr>
        </a:p>
      </xdr:txBody>
    </xdr:sp>
    <xdr:clientData/>
  </xdr:twoCellAnchor>
  <xdr:twoCellAnchor>
    <xdr:from>
      <xdr:col>1</xdr:col>
      <xdr:colOff>1383296</xdr:colOff>
      <xdr:row>5</xdr:row>
      <xdr:rowOff>156745</xdr:rowOff>
    </xdr:from>
    <xdr:to>
      <xdr:col>3</xdr:col>
      <xdr:colOff>643638</xdr:colOff>
      <xdr:row>7</xdr:row>
      <xdr:rowOff>55145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BA6CABD5-62DB-4683-BBEF-430D6B07016C}"/>
            </a:ext>
          </a:extLst>
        </xdr:cNvPr>
        <xdr:cNvSpPr txBox="1"/>
      </xdr:nvSpPr>
      <xdr:spPr>
        <a:xfrm>
          <a:off x="4437646" y="1001295"/>
          <a:ext cx="1793992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r>
            <a:rPr lang="en-GB" sz="16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Total Expenses</a:t>
          </a:r>
          <a:r>
            <a:rPr lang="en-GB" sz="1600" b="1">
              <a:solidFill>
                <a:sysClr val="windowText" lastClr="000000"/>
              </a:solidFill>
              <a:effectLst/>
            </a:rPr>
            <a:t> </a:t>
          </a:r>
          <a:endParaRPr lang="en-GB" sz="1600" b="1" i="0" u="none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189496</xdr:colOff>
      <xdr:row>8</xdr:row>
      <xdr:rowOff>99594</xdr:rowOff>
    </xdr:from>
    <xdr:to>
      <xdr:col>3</xdr:col>
      <xdr:colOff>181178</xdr:colOff>
      <xdr:row>9</xdr:row>
      <xdr:rowOff>184149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C0F429E5-F13C-4CA3-87E3-784259EC7C66}"/>
            </a:ext>
          </a:extLst>
        </xdr:cNvPr>
        <xdr:cNvSpPr txBox="1"/>
      </xdr:nvSpPr>
      <xdr:spPr>
        <a:xfrm>
          <a:off x="4628146" y="1496594"/>
          <a:ext cx="1141032" cy="2687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r>
            <a:rPr lang="en-GB" sz="16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£ 3,569.00 </a:t>
          </a:r>
          <a:endParaRPr lang="en-GB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1104900</xdr:colOff>
      <xdr:row>5</xdr:row>
      <xdr:rowOff>0</xdr:rowOff>
    </xdr:from>
    <xdr:to>
      <xdr:col>6</xdr:col>
      <xdr:colOff>381000</xdr:colOff>
      <xdr:row>10</xdr:row>
      <xdr:rowOff>175794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B896599E-4A0E-43F2-BFC8-1BE99B6D30F0}"/>
            </a:ext>
          </a:extLst>
        </xdr:cNvPr>
        <xdr:cNvSpPr/>
      </xdr:nvSpPr>
      <xdr:spPr>
        <a:xfrm>
          <a:off x="6692900" y="844550"/>
          <a:ext cx="2209800" cy="1096544"/>
        </a:xfrm>
        <a:prstGeom prst="roundRect">
          <a:avLst/>
        </a:prstGeom>
        <a:solidFill>
          <a:schemeClr val="accent4">
            <a:lumMod val="40000"/>
            <a:lumOff val="60000"/>
          </a:schemeClr>
        </a:solidFill>
        <a:effectLst>
          <a:glow rad="114300">
            <a:schemeClr val="accent1">
              <a:alpha val="50000"/>
            </a:schemeClr>
          </a:glow>
          <a:softEdge rad="0"/>
        </a:effectLst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chemeClr val="dk1"/>
            </a:solidFill>
            <a:effectLst>
              <a:reflection stA="90000" endPos="65000" dist="50800" dir="5400000" sy="-100000" algn="bl" rotWithShape="0"/>
            </a:effectLst>
          </a:endParaRPr>
        </a:p>
      </xdr:txBody>
    </xdr:sp>
    <xdr:clientData/>
  </xdr:twoCellAnchor>
  <xdr:twoCellAnchor>
    <xdr:from>
      <xdr:col>3</xdr:col>
      <xdr:colOff>1376947</xdr:colOff>
      <xdr:row>5</xdr:row>
      <xdr:rowOff>163095</xdr:rowOff>
    </xdr:from>
    <xdr:to>
      <xdr:col>6</xdr:col>
      <xdr:colOff>170447</xdr:colOff>
      <xdr:row>7</xdr:row>
      <xdr:rowOff>61495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808A633-76AD-4245-8135-F26FD962AF88}"/>
            </a:ext>
          </a:extLst>
        </xdr:cNvPr>
        <xdr:cNvSpPr txBox="1"/>
      </xdr:nvSpPr>
      <xdr:spPr>
        <a:xfrm>
          <a:off x="6964947" y="1007645"/>
          <a:ext cx="172720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ctr"/>
          <a:r>
            <a:rPr lang="en-GB" sz="1600" b="1" i="0" u="none" strike="noStrike">
              <a:solidFill>
                <a:schemeClr val="tx2"/>
              </a:solidFill>
              <a:effectLst/>
              <a:latin typeface="+mn-lt"/>
              <a:ea typeface="+mn-ea"/>
              <a:cs typeface="+mn-cs"/>
            </a:rPr>
            <a:t>Net Profit</a:t>
          </a:r>
          <a:r>
            <a:rPr lang="en-GB" sz="1600" b="1">
              <a:solidFill>
                <a:schemeClr val="tx2"/>
              </a:solidFill>
              <a:effectLst/>
            </a:rPr>
            <a:t> </a:t>
          </a:r>
          <a:endParaRPr lang="en-GB" sz="1600" b="1" i="0" u="none">
            <a:solidFill>
              <a:schemeClr val="tx2"/>
            </a:solidFill>
          </a:endParaRPr>
        </a:p>
      </xdr:txBody>
    </xdr:sp>
    <xdr:clientData/>
  </xdr:twoCellAnchor>
  <xdr:twoCellAnchor>
    <xdr:from>
      <xdr:col>4</xdr:col>
      <xdr:colOff>106946</xdr:colOff>
      <xdr:row>8</xdr:row>
      <xdr:rowOff>105944</xdr:rowOff>
    </xdr:from>
    <xdr:to>
      <xdr:col>5</xdr:col>
      <xdr:colOff>609599</xdr:colOff>
      <xdr:row>10</xdr:row>
      <xdr:rowOff>50799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AC399BAA-7544-4DE7-8E69-1034384137E5}"/>
            </a:ext>
          </a:extLst>
        </xdr:cNvPr>
        <xdr:cNvSpPr txBox="1"/>
      </xdr:nvSpPr>
      <xdr:spPr>
        <a:xfrm>
          <a:off x="7155446" y="1502944"/>
          <a:ext cx="1366253" cy="3131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r>
            <a:rPr lang="en-GB" sz="16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600" b="1" i="0" u="none" strike="noStrike">
              <a:solidFill>
                <a:schemeClr val="tx2"/>
              </a:solidFill>
              <a:effectLst/>
              <a:latin typeface="+mn-lt"/>
              <a:ea typeface="+mn-ea"/>
              <a:cs typeface="+mn-cs"/>
            </a:rPr>
            <a:t>£  17,815.29 </a:t>
          </a:r>
          <a:endParaRPr lang="en-GB" sz="1600" b="1">
            <a:solidFill>
              <a:schemeClr val="tx2"/>
            </a:solidFill>
          </a:endParaRPr>
        </a:p>
      </xdr:txBody>
    </xdr:sp>
    <xdr:clientData/>
  </xdr:twoCellAnchor>
  <xdr:twoCellAnchor>
    <xdr:from>
      <xdr:col>6</xdr:col>
      <xdr:colOff>704850</xdr:colOff>
      <xdr:row>5</xdr:row>
      <xdr:rowOff>0</xdr:rowOff>
    </xdr:from>
    <xdr:to>
      <xdr:col>9</xdr:col>
      <xdr:colOff>139700</xdr:colOff>
      <xdr:row>10</xdr:row>
      <xdr:rowOff>175794</xdr:rowOff>
    </xdr:to>
    <xdr:sp macro="" textlink="">
      <xdr:nvSpPr>
        <xdr:cNvPr id="24" name="Rectangle: Rounded Corners 23">
          <a:extLst>
            <a:ext uri="{FF2B5EF4-FFF2-40B4-BE49-F238E27FC236}">
              <a16:creationId xmlns:a16="http://schemas.microsoft.com/office/drawing/2014/main" id="{634FD6E6-A42B-4F14-B229-E93579A1A07C}"/>
            </a:ext>
          </a:extLst>
        </xdr:cNvPr>
        <xdr:cNvSpPr/>
      </xdr:nvSpPr>
      <xdr:spPr>
        <a:xfrm>
          <a:off x="9226550" y="844550"/>
          <a:ext cx="2203450" cy="1096544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>
          <a:noFill/>
        </a:ln>
        <a:effectLst>
          <a:glow rad="114300">
            <a:schemeClr val="accent1">
              <a:alpha val="50000"/>
            </a:schemeClr>
          </a:glow>
          <a:softEdge rad="0"/>
        </a:effectLst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chemeClr val="dk1"/>
            </a:solidFill>
            <a:effectLst>
              <a:reflection stA="90000" endPos="65000" dist="50800" dir="5400000" sy="-100000" algn="bl" rotWithShape="0"/>
            </a:effectLst>
          </a:endParaRPr>
        </a:p>
      </xdr:txBody>
    </xdr:sp>
    <xdr:clientData/>
  </xdr:twoCellAnchor>
  <xdr:twoCellAnchor>
    <xdr:from>
      <xdr:col>6</xdr:col>
      <xdr:colOff>976897</xdr:colOff>
      <xdr:row>5</xdr:row>
      <xdr:rowOff>156745</xdr:rowOff>
    </xdr:from>
    <xdr:to>
      <xdr:col>8</xdr:col>
      <xdr:colOff>545097</xdr:colOff>
      <xdr:row>7</xdr:row>
      <xdr:rowOff>55145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13335D3B-9067-4003-97B8-AFE3F02ABD7D}"/>
            </a:ext>
          </a:extLst>
        </xdr:cNvPr>
        <xdr:cNvSpPr txBox="1"/>
      </xdr:nvSpPr>
      <xdr:spPr>
        <a:xfrm>
          <a:off x="9498597" y="1001295"/>
          <a:ext cx="172720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ctr"/>
          <a:r>
            <a:rPr lang="en-GB" sz="16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Profit Margin</a:t>
          </a:r>
          <a:r>
            <a:rPr lang="en-GB" sz="1600" b="1">
              <a:effectLst/>
            </a:rPr>
            <a:t> </a:t>
          </a:r>
          <a:endParaRPr lang="en-GB" sz="1600" b="1" i="0" u="none">
            <a:solidFill>
              <a:schemeClr val="accent3"/>
            </a:solidFill>
          </a:endParaRPr>
        </a:p>
      </xdr:txBody>
    </xdr:sp>
    <xdr:clientData/>
  </xdr:twoCellAnchor>
  <xdr:twoCellAnchor>
    <xdr:from>
      <xdr:col>7</xdr:col>
      <xdr:colOff>291097</xdr:colOff>
      <xdr:row>8</xdr:row>
      <xdr:rowOff>118645</xdr:rowOff>
    </xdr:from>
    <xdr:to>
      <xdr:col>8</xdr:col>
      <xdr:colOff>227597</xdr:colOff>
      <xdr:row>9</xdr:row>
      <xdr:rowOff>112295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45AC23EC-2B2A-4F33-A158-7464FBBE81B4}"/>
            </a:ext>
          </a:extLst>
        </xdr:cNvPr>
        <xdr:cNvSpPr txBox="1"/>
      </xdr:nvSpPr>
      <xdr:spPr>
        <a:xfrm>
          <a:off x="9809747" y="1515645"/>
          <a:ext cx="1098550" cy="177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ctr"/>
          <a:r>
            <a:rPr lang="en-GB" sz="16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83.31%</a:t>
          </a:r>
          <a:r>
            <a:rPr lang="en-GB" sz="1600" b="1">
              <a:effectLst/>
            </a:rPr>
            <a:t> </a:t>
          </a:r>
          <a:endParaRPr lang="en-GB" sz="1600" b="1">
            <a:solidFill>
              <a:schemeClr val="accent3"/>
            </a:solidFill>
          </a:endParaRPr>
        </a:p>
      </xdr:txBody>
    </xdr:sp>
    <xdr:clientData/>
  </xdr:twoCellAnchor>
  <xdr:twoCellAnchor>
    <xdr:from>
      <xdr:col>0</xdr:col>
      <xdr:colOff>1417411</xdr:colOff>
      <xdr:row>1</xdr:row>
      <xdr:rowOff>34017</xdr:rowOff>
    </xdr:from>
    <xdr:to>
      <xdr:col>9</xdr:col>
      <xdr:colOff>362857</xdr:colOff>
      <xdr:row>30</xdr:row>
      <xdr:rowOff>124732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32CB35A-3EBF-81F1-B018-20224E24ACE6}"/>
            </a:ext>
          </a:extLst>
        </xdr:cNvPr>
        <xdr:cNvSpPr/>
      </xdr:nvSpPr>
      <xdr:spPr>
        <a:xfrm>
          <a:off x="1417411" y="215446"/>
          <a:ext cx="10228035" cy="5488215"/>
        </a:xfrm>
        <a:prstGeom prst="rect">
          <a:avLst/>
        </a:prstGeom>
        <a:noFill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1235982</xdr:colOff>
      <xdr:row>13</xdr:row>
      <xdr:rowOff>79375</xdr:rowOff>
    </xdr:from>
    <xdr:to>
      <xdr:col>9</xdr:col>
      <xdr:colOff>147411</xdr:colOff>
      <xdr:row>29</xdr:row>
      <xdr:rowOff>79375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2C44ADE8-C539-7A2B-EB9F-B9E8F446E7B4}"/>
            </a:ext>
          </a:extLst>
        </xdr:cNvPr>
        <xdr:cNvSpPr/>
      </xdr:nvSpPr>
      <xdr:spPr>
        <a:xfrm>
          <a:off x="6814911" y="2574018"/>
          <a:ext cx="4615089" cy="2902857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1757589</xdr:colOff>
      <xdr:row>13</xdr:row>
      <xdr:rowOff>56696</xdr:rowOff>
    </xdr:from>
    <xdr:to>
      <xdr:col>3</xdr:col>
      <xdr:colOff>782410</xdr:colOff>
      <xdr:row>29</xdr:row>
      <xdr:rowOff>79375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4D5DA917-B779-6931-0F1E-5441F8A65225}"/>
            </a:ext>
          </a:extLst>
        </xdr:cNvPr>
        <xdr:cNvSpPr/>
      </xdr:nvSpPr>
      <xdr:spPr>
        <a:xfrm>
          <a:off x="1757589" y="2551339"/>
          <a:ext cx="4603750" cy="2925536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</xdr:col>
      <xdr:colOff>192768</xdr:colOff>
      <xdr:row>1</xdr:row>
      <xdr:rowOff>170089</xdr:rowOff>
    </xdr:from>
    <xdr:to>
      <xdr:col>4</xdr:col>
      <xdr:colOff>850447</xdr:colOff>
      <xdr:row>3</xdr:row>
      <xdr:rowOff>34018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8ADF2FB8-8181-3F63-7E87-40E8E929AAAB}"/>
            </a:ext>
          </a:extLst>
        </xdr:cNvPr>
        <xdr:cNvSpPr/>
      </xdr:nvSpPr>
      <xdr:spPr>
        <a:xfrm>
          <a:off x="4626429" y="351518"/>
          <a:ext cx="3265714" cy="362857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1A783-56FA-4610-AFBE-608171B227C0}">
  <sheetPr>
    <tabColor theme="6"/>
  </sheetPr>
  <dimension ref="A1:C19"/>
  <sheetViews>
    <sheetView tabSelected="1" workbookViewId="0">
      <selection activeCell="A14" sqref="A14:B18"/>
    </sheetView>
  </sheetViews>
  <sheetFormatPr defaultRowHeight="14.5" x14ac:dyDescent="0.35"/>
  <cols>
    <col min="1" max="1" width="42.1796875" customWidth="1"/>
    <col min="2" max="2" width="32.6328125" customWidth="1"/>
  </cols>
  <sheetData>
    <row r="1" spans="1:3" ht="20" x14ac:dyDescent="0.4">
      <c r="A1" s="1" t="s">
        <v>0</v>
      </c>
    </row>
    <row r="3" spans="1:3" ht="18" x14ac:dyDescent="0.4">
      <c r="A3" s="3" t="s">
        <v>1</v>
      </c>
      <c r="B3" s="4"/>
    </row>
    <row r="4" spans="1:3" x14ac:dyDescent="0.35">
      <c r="A4" s="5" t="s">
        <v>2</v>
      </c>
      <c r="B4" s="5" t="s">
        <v>3</v>
      </c>
    </row>
    <row r="5" spans="1:3" x14ac:dyDescent="0.35">
      <c r="A5" s="5" t="s">
        <v>4</v>
      </c>
      <c r="B5" s="5" t="s">
        <v>5</v>
      </c>
    </row>
    <row r="6" spans="1:3" x14ac:dyDescent="0.35">
      <c r="A6" s="2"/>
      <c r="B6" s="2"/>
    </row>
    <row r="7" spans="1:3" ht="18" x14ac:dyDescent="0.4">
      <c r="A7" s="3" t="s">
        <v>6</v>
      </c>
      <c r="B7" s="6"/>
    </row>
    <row r="8" spans="1:3" x14ac:dyDescent="0.35">
      <c r="A8" s="5" t="s">
        <v>7</v>
      </c>
      <c r="B8" s="5" t="s">
        <v>8</v>
      </c>
    </row>
    <row r="9" spans="1:3" x14ac:dyDescent="0.35">
      <c r="A9" s="5" t="s">
        <v>9</v>
      </c>
      <c r="B9" s="7">
        <v>50</v>
      </c>
    </row>
    <row r="10" spans="1:3" x14ac:dyDescent="0.35">
      <c r="A10" s="5" t="s">
        <v>10</v>
      </c>
      <c r="B10" s="5">
        <v>20</v>
      </c>
    </row>
    <row r="11" spans="1:3" x14ac:dyDescent="0.35">
      <c r="A11" s="5" t="s">
        <v>11</v>
      </c>
      <c r="B11" s="8">
        <v>0.1</v>
      </c>
    </row>
    <row r="12" spans="1:3" x14ac:dyDescent="0.35">
      <c r="A12" s="2"/>
      <c r="B12" s="2"/>
    </row>
    <row r="13" spans="1:3" ht="20" x14ac:dyDescent="0.4">
      <c r="A13" s="9" t="s">
        <v>12</v>
      </c>
    </row>
    <row r="14" spans="1:3" x14ac:dyDescent="0.35">
      <c r="A14" s="11" t="s">
        <v>13</v>
      </c>
      <c r="B14" s="22">
        <v>15</v>
      </c>
    </row>
    <row r="15" spans="1:3" x14ac:dyDescent="0.35">
      <c r="A15" s="17" t="s">
        <v>14</v>
      </c>
      <c r="B15" s="23">
        <v>500</v>
      </c>
      <c r="C15" s="10"/>
    </row>
    <row r="16" spans="1:3" x14ac:dyDescent="0.35">
      <c r="A16" s="18" t="s">
        <v>15</v>
      </c>
      <c r="B16" s="24">
        <v>200</v>
      </c>
      <c r="C16" s="14"/>
    </row>
    <row r="17" spans="1:3" x14ac:dyDescent="0.35">
      <c r="A17" s="19" t="s">
        <v>16</v>
      </c>
      <c r="B17" s="25">
        <v>100</v>
      </c>
      <c r="C17" s="16"/>
    </row>
    <row r="18" spans="1:3" x14ac:dyDescent="0.35">
      <c r="A18" s="18" t="s">
        <v>17</v>
      </c>
      <c r="B18" s="24">
        <v>150</v>
      </c>
      <c r="C18" s="14"/>
    </row>
    <row r="19" spans="1:3" x14ac:dyDescent="0.35">
      <c r="B19" s="26"/>
    </row>
  </sheetData>
  <dataValidations count="4">
    <dataValidation type="decimal" operator="greaterThan" allowBlank="1" showInputMessage="1" showErrorMessage="1" promptTitle="Enter price" prompt="enter a price greater than $0" sqref="A9" xr:uid="{74774607-58DB-4D74-AD09-B2AB02A618DC}">
      <formula1>0</formula1>
    </dataValidation>
    <dataValidation type="whole" operator="greaterThan" allowBlank="1" showInputMessage="1" showErrorMessage="1" sqref="A10" xr:uid="{4797A1C5-C320-43CA-8700-4B2C37DC5AC7}">
      <formula1>0</formula1>
    </dataValidation>
    <dataValidation type="custom" allowBlank="1" showInputMessage="1" showErrorMessage="1" sqref="A11" xr:uid="{6E37D17F-EE81-44C8-9A14-FC7044685A98}">
      <formula1>"0% to 50%"</formula1>
    </dataValidation>
    <dataValidation type="custom" operator="greaterThanOrEqual" allowBlank="1" showInputMessage="1" showErrorMessage="1" sqref="A14:B18" xr:uid="{3BF4212D-C92B-4D80-933D-8FB5F8644C51}">
      <formula1>"&gt;=0"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EB31B-D64D-467B-B077-F4BBE01BC0DD}">
  <sheetPr>
    <tabColor theme="4"/>
  </sheetPr>
  <dimension ref="A1:N25"/>
  <sheetViews>
    <sheetView topLeftCell="A2" zoomScale="54" zoomScaleNormal="350" workbookViewId="0">
      <selection activeCell="B22" sqref="B22"/>
    </sheetView>
  </sheetViews>
  <sheetFormatPr defaultRowHeight="14.5" x14ac:dyDescent="0.35"/>
  <cols>
    <col min="1" max="1" width="35.90625" customWidth="1"/>
    <col min="2" max="2" width="20.453125" customWidth="1"/>
    <col min="3" max="3" width="13.81640625" customWidth="1"/>
    <col min="4" max="4" width="12.08984375" customWidth="1"/>
    <col min="5" max="5" width="13" customWidth="1"/>
    <col min="6" max="6" width="12.1796875" customWidth="1"/>
    <col min="7" max="7" width="14.26953125" customWidth="1"/>
    <col min="8" max="8" width="14.7265625" customWidth="1"/>
    <col min="9" max="9" width="13.54296875" customWidth="1"/>
    <col min="10" max="10" width="14.6328125" customWidth="1"/>
    <col min="11" max="11" width="19.7265625" customWidth="1"/>
    <col min="12" max="12" width="17.6328125" customWidth="1"/>
    <col min="13" max="13" width="15.36328125" customWidth="1"/>
  </cols>
  <sheetData>
    <row r="1" spans="1:14" ht="18.5" x14ac:dyDescent="0.45">
      <c r="A1" s="36" t="s">
        <v>18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</row>
    <row r="2" spans="1:14" x14ac:dyDescent="0.35">
      <c r="B2" s="11"/>
      <c r="C2" s="12"/>
      <c r="D2" s="10"/>
    </row>
    <row r="3" spans="1:14" x14ac:dyDescent="0.35">
      <c r="A3" s="20" t="s">
        <v>30</v>
      </c>
      <c r="B3" s="13"/>
      <c r="C3" s="13"/>
      <c r="D3" s="14"/>
    </row>
    <row r="4" spans="1:14" x14ac:dyDescent="0.35">
      <c r="A4" s="18" t="s">
        <v>19</v>
      </c>
      <c r="B4" s="19">
        <f>Inputs!B10</f>
        <v>20</v>
      </c>
      <c r="C4" s="29">
        <f>B4*(1+Inputs!$B$11)</f>
        <v>22</v>
      </c>
      <c r="D4" s="29">
        <f>C4*(1+Inputs!$B$11)</f>
        <v>24.200000000000003</v>
      </c>
      <c r="E4" s="29">
        <f>D4*(1+Inputs!$B$11)</f>
        <v>26.620000000000005</v>
      </c>
      <c r="F4" s="29">
        <f>E4*(1+Inputs!$B$11)</f>
        <v>29.282000000000007</v>
      </c>
      <c r="G4" s="29">
        <f>F4*(1+Inputs!$B$11)</f>
        <v>32.210200000000007</v>
      </c>
      <c r="H4" s="29">
        <f>G4*(1+Inputs!$B$11)</f>
        <v>35.43122000000001</v>
      </c>
      <c r="I4" s="29">
        <f>H4*(1+Inputs!$B$11)</f>
        <v>38.974342000000014</v>
      </c>
      <c r="J4" s="29">
        <f>I4*(1+Inputs!$B$11)</f>
        <v>42.871776200000021</v>
      </c>
      <c r="K4" s="29">
        <f>J4*(1+Inputs!$B$11)</f>
        <v>47.158953820000029</v>
      </c>
      <c r="L4" s="29">
        <f>K4*(1+Inputs!$B$11)</f>
        <v>51.874849202000036</v>
      </c>
      <c r="M4" s="29">
        <f>L4*(1+Inputs!$B$11)</f>
        <v>57.062334122200042</v>
      </c>
      <c r="N4" s="15"/>
    </row>
    <row r="5" spans="1:14" x14ac:dyDescent="0.35">
      <c r="A5" s="19" t="s">
        <v>20</v>
      </c>
      <c r="B5" s="24">
        <v>50</v>
      </c>
      <c r="C5" s="30">
        <f>Inputs!$B$9</f>
        <v>50</v>
      </c>
      <c r="D5" s="30">
        <f>Inputs!$B$9</f>
        <v>50</v>
      </c>
      <c r="E5" s="30">
        <f>Inputs!$B$9</f>
        <v>50</v>
      </c>
      <c r="F5" s="30">
        <f>Inputs!$B$9</f>
        <v>50</v>
      </c>
      <c r="G5" s="30">
        <f>Inputs!$B$9</f>
        <v>50</v>
      </c>
      <c r="H5" s="30">
        <f>Inputs!$B$9</f>
        <v>50</v>
      </c>
      <c r="I5" s="30">
        <f>Inputs!$B$9</f>
        <v>50</v>
      </c>
      <c r="J5" s="30">
        <f>Inputs!$B$9</f>
        <v>50</v>
      </c>
      <c r="K5" s="30">
        <f>Inputs!$B$9</f>
        <v>50</v>
      </c>
      <c r="L5" s="30">
        <f>Inputs!$B$9</f>
        <v>50</v>
      </c>
      <c r="M5" s="30">
        <f>Inputs!$B$9</f>
        <v>50</v>
      </c>
    </row>
    <row r="6" spans="1:14" x14ac:dyDescent="0.35">
      <c r="A6" s="18" t="s">
        <v>21</v>
      </c>
      <c r="B6" s="25">
        <f>B4*B5</f>
        <v>1000</v>
      </c>
      <c r="C6" s="25">
        <f t="shared" ref="C6:M6" si="0">C4*C5</f>
        <v>1100</v>
      </c>
      <c r="D6" s="25">
        <f t="shared" si="0"/>
        <v>1210.0000000000002</v>
      </c>
      <c r="E6" s="25">
        <f t="shared" si="0"/>
        <v>1331.0000000000002</v>
      </c>
      <c r="F6" s="25">
        <f t="shared" si="0"/>
        <v>1464.1000000000004</v>
      </c>
      <c r="G6" s="25">
        <f t="shared" si="0"/>
        <v>1610.5100000000004</v>
      </c>
      <c r="H6" s="25">
        <f t="shared" si="0"/>
        <v>1771.5610000000006</v>
      </c>
      <c r="I6" s="25">
        <f t="shared" si="0"/>
        <v>1948.7171000000008</v>
      </c>
      <c r="J6" s="25">
        <f t="shared" si="0"/>
        <v>2143.5888100000011</v>
      </c>
      <c r="K6" s="25">
        <f t="shared" si="0"/>
        <v>2357.9476910000017</v>
      </c>
      <c r="L6" s="25">
        <f t="shared" si="0"/>
        <v>2593.7424601000016</v>
      </c>
      <c r="M6" s="25">
        <f t="shared" si="0"/>
        <v>2853.1167061100023</v>
      </c>
    </row>
    <row r="7" spans="1:14" x14ac:dyDescent="0.35">
      <c r="A7" s="21" t="s">
        <v>22</v>
      </c>
      <c r="B7" s="13"/>
      <c r="C7" s="13"/>
      <c r="D7" s="14"/>
    </row>
    <row r="8" spans="1:14" x14ac:dyDescent="0.35">
      <c r="A8" s="35" t="s">
        <v>23</v>
      </c>
      <c r="B8" s="19">
        <f>B4*Inputs!$B$14</f>
        <v>300</v>
      </c>
      <c r="C8" s="19">
        <f>C4*Inputs!$B$14</f>
        <v>330</v>
      </c>
      <c r="D8" s="19">
        <f>D4*Inputs!$B$14</f>
        <v>363.00000000000006</v>
      </c>
      <c r="E8" s="19">
        <f>E4*Inputs!$B$14</f>
        <v>399.30000000000007</v>
      </c>
      <c r="F8" s="19">
        <f>F4*Inputs!$B$14</f>
        <v>439.23000000000013</v>
      </c>
      <c r="G8" s="19">
        <f>G4*Inputs!$B$14</f>
        <v>483.15300000000013</v>
      </c>
      <c r="H8" s="19">
        <f>H4*Inputs!$B$14</f>
        <v>531.46830000000011</v>
      </c>
      <c r="I8" s="19">
        <f>I4*Inputs!$B$14</f>
        <v>584.61513000000025</v>
      </c>
      <c r="J8" s="19">
        <f>J4*Inputs!$B$14</f>
        <v>643.07664300000033</v>
      </c>
      <c r="K8" s="19">
        <f>K4*Inputs!$B$14</f>
        <v>707.38430730000039</v>
      </c>
      <c r="L8" s="19">
        <f>L4*Inputs!$B$14</f>
        <v>778.12273803000051</v>
      </c>
      <c r="M8" s="19">
        <f>M4*Inputs!$B$14</f>
        <v>855.93501183300066</v>
      </c>
    </row>
    <row r="9" spans="1:14" x14ac:dyDescent="0.35">
      <c r="A9" s="19" t="s">
        <v>24</v>
      </c>
      <c r="B9" s="18">
        <f>Inputs!$B$15</f>
        <v>500</v>
      </c>
      <c r="C9" s="18">
        <f>Inputs!$B$15</f>
        <v>500</v>
      </c>
      <c r="D9" s="18">
        <f>Inputs!$B$15</f>
        <v>500</v>
      </c>
      <c r="E9" s="18">
        <f>Inputs!$B$15</f>
        <v>500</v>
      </c>
      <c r="F9" s="18">
        <f>Inputs!$B$15</f>
        <v>500</v>
      </c>
      <c r="G9" s="18">
        <f>Inputs!$B$15</f>
        <v>500</v>
      </c>
      <c r="H9" s="18">
        <f>Inputs!$B$15</f>
        <v>500</v>
      </c>
      <c r="I9" s="18">
        <f>Inputs!$B$15</f>
        <v>500</v>
      </c>
      <c r="J9" s="18">
        <f>Inputs!$B$15</f>
        <v>500</v>
      </c>
      <c r="K9" s="18">
        <f>Inputs!$B$15</f>
        <v>500</v>
      </c>
      <c r="L9" s="18">
        <f>Inputs!$B$15</f>
        <v>500</v>
      </c>
      <c r="M9" s="18">
        <f>Inputs!$B$15</f>
        <v>500</v>
      </c>
    </row>
    <row r="10" spans="1:14" ht="15.5" x14ac:dyDescent="0.35">
      <c r="A10" s="18" t="s">
        <v>25</v>
      </c>
      <c r="B10" s="31">
        <f>Inputs!$B$16</f>
        <v>200</v>
      </c>
      <c r="C10" s="31">
        <f>Inputs!$B$16</f>
        <v>200</v>
      </c>
      <c r="D10" s="31">
        <f>Inputs!$B$16</f>
        <v>200</v>
      </c>
      <c r="E10" s="31">
        <f>Inputs!$B$16</f>
        <v>200</v>
      </c>
      <c r="F10" s="31">
        <f>Inputs!$B$16</f>
        <v>200</v>
      </c>
      <c r="G10" s="31">
        <f>Inputs!$B$16</f>
        <v>200</v>
      </c>
      <c r="H10" s="31">
        <f>Inputs!$B$16</f>
        <v>200</v>
      </c>
      <c r="I10" s="31">
        <f>Inputs!$B$16</f>
        <v>200</v>
      </c>
      <c r="J10" s="31">
        <f>Inputs!$B$16</f>
        <v>200</v>
      </c>
      <c r="K10" s="31">
        <f>Inputs!$B$16</f>
        <v>200</v>
      </c>
      <c r="L10" s="31">
        <f>Inputs!$B$16</f>
        <v>200</v>
      </c>
      <c r="M10" s="31">
        <f>Inputs!$B$16</f>
        <v>200</v>
      </c>
    </row>
    <row r="11" spans="1:14" ht="15.5" x14ac:dyDescent="0.35">
      <c r="A11" s="19" t="s">
        <v>26</v>
      </c>
      <c r="B11" s="31">
        <f>Inputs!$B$17</f>
        <v>100</v>
      </c>
      <c r="C11" s="31">
        <f>Inputs!$B$17</f>
        <v>100</v>
      </c>
      <c r="D11" s="31">
        <f>Inputs!$B$17</f>
        <v>100</v>
      </c>
      <c r="E11" s="31">
        <f>Inputs!$B$17</f>
        <v>100</v>
      </c>
      <c r="F11" s="31">
        <f>Inputs!$B$17</f>
        <v>100</v>
      </c>
      <c r="G11" s="31">
        <f>Inputs!$B$17</f>
        <v>100</v>
      </c>
      <c r="H11" s="31">
        <f>Inputs!$B$17</f>
        <v>100</v>
      </c>
      <c r="I11" s="31">
        <f>Inputs!$B$17</f>
        <v>100</v>
      </c>
      <c r="J11" s="31">
        <f>Inputs!$B$17</f>
        <v>100</v>
      </c>
      <c r="K11" s="31">
        <f>Inputs!$B$17</f>
        <v>100</v>
      </c>
      <c r="L11" s="31">
        <f>Inputs!$B$17</f>
        <v>100</v>
      </c>
      <c r="M11" s="31">
        <f>Inputs!$B$17</f>
        <v>100</v>
      </c>
    </row>
    <row r="12" spans="1:14" ht="15.5" x14ac:dyDescent="0.35">
      <c r="A12" s="18" t="s">
        <v>27</v>
      </c>
      <c r="B12" s="31">
        <f>Inputs!$B$18</f>
        <v>150</v>
      </c>
      <c r="C12" s="31">
        <f>Inputs!$B$18</f>
        <v>150</v>
      </c>
      <c r="D12" s="31">
        <f>Inputs!$B$18</f>
        <v>150</v>
      </c>
      <c r="E12" s="31">
        <f>Inputs!$B$18</f>
        <v>150</v>
      </c>
      <c r="F12" s="31">
        <f>Inputs!$B$18</f>
        <v>150</v>
      </c>
      <c r="G12" s="31">
        <f>Inputs!$B$18</f>
        <v>150</v>
      </c>
      <c r="H12" s="31">
        <f>Inputs!$B$18</f>
        <v>150</v>
      </c>
      <c r="I12" s="31">
        <f>Inputs!$B$18</f>
        <v>150</v>
      </c>
      <c r="J12" s="31">
        <f>Inputs!$B$18</f>
        <v>150</v>
      </c>
      <c r="K12" s="31">
        <f>Inputs!$B$18</f>
        <v>150</v>
      </c>
      <c r="L12" s="31">
        <f>Inputs!$B$18</f>
        <v>150</v>
      </c>
      <c r="M12" s="31">
        <f>Inputs!$B$18</f>
        <v>150</v>
      </c>
    </row>
    <row r="13" spans="1:14" ht="15.5" x14ac:dyDescent="0.35">
      <c r="A13" s="19" t="s">
        <v>28</v>
      </c>
      <c r="B13" s="32">
        <f>SUM(B8:B12)</f>
        <v>1250</v>
      </c>
      <c r="C13" s="32">
        <f t="shared" ref="C13:M13" si="1">SUM(C8:C12)</f>
        <v>1280</v>
      </c>
      <c r="D13" s="32">
        <f t="shared" si="1"/>
        <v>1313</v>
      </c>
      <c r="E13" s="32">
        <f t="shared" si="1"/>
        <v>1349.3000000000002</v>
      </c>
      <c r="F13" s="32">
        <f t="shared" si="1"/>
        <v>1389.23</v>
      </c>
      <c r="G13" s="32">
        <f t="shared" si="1"/>
        <v>1433.1530000000002</v>
      </c>
      <c r="H13" s="32">
        <f t="shared" si="1"/>
        <v>1481.4683</v>
      </c>
      <c r="I13" s="32">
        <f t="shared" si="1"/>
        <v>1534.6151300000001</v>
      </c>
      <c r="J13" s="32">
        <f t="shared" si="1"/>
        <v>1593.0766430000003</v>
      </c>
      <c r="K13" s="32">
        <f t="shared" si="1"/>
        <v>1657.3843073000003</v>
      </c>
      <c r="L13" s="32">
        <f t="shared" si="1"/>
        <v>1728.1227380300006</v>
      </c>
      <c r="M13" s="32">
        <f t="shared" si="1"/>
        <v>1805.9350118330008</v>
      </c>
    </row>
    <row r="14" spans="1:14" ht="15.5" x14ac:dyDescent="0.35">
      <c r="A14" s="33" t="s">
        <v>29</v>
      </c>
      <c r="B14" s="34">
        <f>B6-B13</f>
        <v>-250</v>
      </c>
      <c r="C14" s="34">
        <f t="shared" ref="C14:M14" si="2">C6-C13</f>
        <v>-180</v>
      </c>
      <c r="D14" s="34">
        <f t="shared" si="2"/>
        <v>-102.99999999999977</v>
      </c>
      <c r="E14" s="34">
        <f t="shared" si="2"/>
        <v>-18.299999999999955</v>
      </c>
      <c r="F14" s="34">
        <f t="shared" si="2"/>
        <v>74.870000000000346</v>
      </c>
      <c r="G14" s="34">
        <f t="shared" si="2"/>
        <v>177.3570000000002</v>
      </c>
      <c r="H14" s="34">
        <f t="shared" si="2"/>
        <v>290.0927000000006</v>
      </c>
      <c r="I14" s="34">
        <f t="shared" si="2"/>
        <v>414.10197000000062</v>
      </c>
      <c r="J14" s="34">
        <f t="shared" si="2"/>
        <v>550.51216700000077</v>
      </c>
      <c r="K14" s="34">
        <f t="shared" si="2"/>
        <v>700.5633837000014</v>
      </c>
      <c r="L14" s="34">
        <f t="shared" si="2"/>
        <v>865.61972207000099</v>
      </c>
      <c r="M14" s="34">
        <f t="shared" si="2"/>
        <v>1047.1816942770015</v>
      </c>
    </row>
    <row r="16" spans="1:14" x14ac:dyDescent="0.35">
      <c r="A16" s="28"/>
    </row>
    <row r="18" spans="1:13" ht="18" x14ac:dyDescent="0.4">
      <c r="A18" s="37" t="s">
        <v>31</v>
      </c>
    </row>
    <row r="19" spans="1:13" ht="15.5" x14ac:dyDescent="0.35">
      <c r="A19" s="38" t="s">
        <v>32</v>
      </c>
      <c r="B19" s="27">
        <f>SUM(B6:M6)</f>
        <v>21384.28376721001</v>
      </c>
    </row>
    <row r="20" spans="1:13" ht="15.5" x14ac:dyDescent="0.35">
      <c r="A20" s="38" t="s">
        <v>33</v>
      </c>
      <c r="B20" s="39">
        <f>SUM(B14:M14)</f>
        <v>3568.9986370470065</v>
      </c>
    </row>
    <row r="21" spans="1:13" ht="15.5" x14ac:dyDescent="0.35">
      <c r="A21" s="38" t="s">
        <v>35</v>
      </c>
      <c r="B21" s="39">
        <f>B19-B20</f>
        <v>17815.285130163003</v>
      </c>
    </row>
    <row r="22" spans="1:13" ht="15.5" x14ac:dyDescent="0.35">
      <c r="A22" s="38" t="s">
        <v>34</v>
      </c>
      <c r="B22" s="41">
        <f>B21/B19</f>
        <v>0.83310179214327496</v>
      </c>
    </row>
    <row r="23" spans="1:13" ht="16" x14ac:dyDescent="0.4">
      <c r="A23" s="40"/>
      <c r="B23" s="40"/>
    </row>
    <row r="24" spans="1:13" ht="17.5" x14ac:dyDescent="0.35">
      <c r="A24" s="42" t="s">
        <v>36</v>
      </c>
    </row>
    <row r="25" spans="1:13" s="44" customFormat="1" ht="16" x14ac:dyDescent="0.4">
      <c r="A25" s="43" t="s">
        <v>37</v>
      </c>
      <c r="B25" s="27">
        <f>B14</f>
        <v>-250</v>
      </c>
      <c r="C25" s="27">
        <f>B25+C14</f>
        <v>-430</v>
      </c>
      <c r="D25" s="27">
        <f t="shared" ref="D25:M25" si="3">C25+D14</f>
        <v>-532.99999999999977</v>
      </c>
      <c r="E25" s="27">
        <f t="shared" si="3"/>
        <v>-551.29999999999973</v>
      </c>
      <c r="F25" s="27">
        <f t="shared" si="3"/>
        <v>-476.42999999999938</v>
      </c>
      <c r="G25" s="27">
        <f t="shared" si="3"/>
        <v>-299.07299999999918</v>
      </c>
      <c r="H25" s="27">
        <f t="shared" si="3"/>
        <v>-8.9802999999985786</v>
      </c>
      <c r="I25" s="27">
        <f t="shared" si="3"/>
        <v>405.12167000000204</v>
      </c>
      <c r="J25" s="27">
        <f t="shared" si="3"/>
        <v>955.63383700000281</v>
      </c>
      <c r="K25" s="27">
        <f t="shared" si="3"/>
        <v>1656.1972207000042</v>
      </c>
      <c r="L25" s="27">
        <f t="shared" si="3"/>
        <v>2521.816942770005</v>
      </c>
      <c r="M25" s="27">
        <f t="shared" si="3"/>
        <v>3568.9986370470065</v>
      </c>
    </row>
  </sheetData>
  <conditionalFormatting sqref="B14:M14">
    <cfRule type="cellIs" dxfId="0" priority="2" operator="lessThan">
      <formula>0</formula>
    </cfRule>
  </conditionalFormatting>
  <conditionalFormatting sqref="B25:M2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2">
    <dataValidation type="decimal" operator="greaterThan" allowBlank="1" showInputMessage="1" showErrorMessage="1" promptTitle="Enter price" prompt="Enter a price" sqref="A5:XFD5" xr:uid="{16D8BA93-318D-4DA4-9F8D-9F561296057C}">
      <formula1>0</formula1>
    </dataValidation>
    <dataValidation type="whole" operator="greaterThan" allowBlank="1" showInputMessage="1" showErrorMessage="1" sqref="A4" xr:uid="{75073FB1-B4D0-485B-B550-2CD9A6365B53}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ED9B6-B430-4643-8343-69887FF1C911}">
  <sheetPr>
    <tabColor theme="5"/>
  </sheetPr>
  <dimension ref="A1:O36"/>
  <sheetViews>
    <sheetView showGridLines="0" zoomScale="56" zoomScaleNormal="350" workbookViewId="0">
      <selection activeCell="R14" sqref="R14"/>
    </sheetView>
  </sheetViews>
  <sheetFormatPr defaultRowHeight="14.5" x14ac:dyDescent="0.35"/>
  <cols>
    <col min="1" max="1" width="43.7265625" customWidth="1"/>
    <col min="2" max="2" width="19.81640625" customWidth="1"/>
    <col min="3" max="3" width="16.453125" customWidth="1"/>
    <col min="4" max="4" width="20.90625" customWidth="1"/>
    <col min="5" max="5" width="12.36328125" customWidth="1"/>
    <col min="7" max="7" width="14.26953125" customWidth="1"/>
    <col min="8" max="8" width="16.6328125" customWidth="1"/>
  </cols>
  <sheetData>
    <row r="1" spans="1:12" x14ac:dyDescent="0.35">
      <c r="A1" s="45"/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</row>
    <row r="2" spans="1:12" x14ac:dyDescent="0.35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</row>
    <row r="3" spans="1:12" ht="25" x14ac:dyDescent="0.35">
      <c r="A3" s="46"/>
      <c r="B3" s="46"/>
      <c r="C3" s="46"/>
      <c r="D3" s="47" t="s">
        <v>38</v>
      </c>
      <c r="E3" s="48"/>
      <c r="F3" s="46"/>
      <c r="G3" s="46"/>
      <c r="H3" s="49"/>
      <c r="I3" s="45"/>
      <c r="J3" s="45"/>
      <c r="K3" s="45"/>
      <c r="L3" s="45"/>
    </row>
    <row r="4" spans="1:12" x14ac:dyDescent="0.35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</row>
    <row r="5" spans="1:12" x14ac:dyDescent="0.35">
      <c r="A5" s="45"/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</row>
    <row r="6" spans="1:12" x14ac:dyDescent="0.35">
      <c r="A6" s="45"/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</row>
    <row r="7" spans="1:12" x14ac:dyDescent="0.35">
      <c r="A7" s="45"/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</row>
    <row r="8" spans="1:12" x14ac:dyDescent="0.3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</row>
    <row r="9" spans="1:12" x14ac:dyDescent="0.35">
      <c r="A9" s="45"/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</row>
    <row r="10" spans="1:12" x14ac:dyDescent="0.35">
      <c r="A10" s="45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</row>
    <row r="11" spans="1:12" x14ac:dyDescent="0.35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</row>
    <row r="12" spans="1:12" x14ac:dyDescent="0.35">
      <c r="A12" s="45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</row>
    <row r="13" spans="1:12" x14ac:dyDescent="0.35">
      <c r="A13" s="45"/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</row>
    <row r="14" spans="1:12" x14ac:dyDescent="0.35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</row>
    <row r="15" spans="1:12" x14ac:dyDescent="0.35">
      <c r="A15" s="45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</row>
    <row r="16" spans="1:12" x14ac:dyDescent="0.35">
      <c r="A16" s="45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</row>
    <row r="17" spans="1:15" x14ac:dyDescent="0.35">
      <c r="A17" s="45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</row>
    <row r="18" spans="1:15" x14ac:dyDescent="0.35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</row>
    <row r="19" spans="1:15" x14ac:dyDescent="0.35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</row>
    <row r="20" spans="1:15" x14ac:dyDescent="0.35">
      <c r="A20" s="45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</row>
    <row r="21" spans="1:15" x14ac:dyDescent="0.35">
      <c r="A21" s="45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</row>
    <row r="22" spans="1:15" x14ac:dyDescent="0.35">
      <c r="A22" s="45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</row>
    <row r="23" spans="1:15" x14ac:dyDescent="0.35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</row>
    <row r="24" spans="1:15" x14ac:dyDescent="0.35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O24" s="50"/>
    </row>
    <row r="25" spans="1:15" x14ac:dyDescent="0.35">
      <c r="A25" s="45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</row>
    <row r="26" spans="1:15" x14ac:dyDescent="0.35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</row>
    <row r="27" spans="1:15" x14ac:dyDescent="0.35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</row>
    <row r="28" spans="1:15" x14ac:dyDescent="0.35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</row>
    <row r="29" spans="1:15" x14ac:dyDescent="0.35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</row>
    <row r="30" spans="1:15" x14ac:dyDescent="0.35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</row>
    <row r="31" spans="1:15" x14ac:dyDescent="0.35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</row>
    <row r="32" spans="1:15" x14ac:dyDescent="0.35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</row>
    <row r="33" spans="1:12" x14ac:dyDescent="0.35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</row>
    <row r="34" spans="1:12" x14ac:dyDescent="0.35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</row>
    <row r="35" spans="1:12" x14ac:dyDescent="0.35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</row>
    <row r="36" spans="1:12" x14ac:dyDescent="0.35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Inputs</vt:lpstr>
      <vt:lpstr>Calculations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Uwa Krish</dc:creator>
  <cp:lastModifiedBy>Uwa Krish</cp:lastModifiedBy>
  <dcterms:created xsi:type="dcterms:W3CDTF">2026-02-26T21:00:05Z</dcterms:created>
  <dcterms:modified xsi:type="dcterms:W3CDTF">2026-02-27T17:08:50Z</dcterms:modified>
</cp:coreProperties>
</file>